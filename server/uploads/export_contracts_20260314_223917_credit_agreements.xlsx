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75"/>
  </bookViews>
  <sheets>
    <sheet name="Кредитные договоры" sheetId="2" r:id="rId1"/>
  </sheets>
  <calcPr calcId="144525"/>
</workbook>
</file>

<file path=xl/sharedStrings.xml><?xml version="1.0" encoding="utf-8"?>
<sst xmlns="http://schemas.openxmlformats.org/spreadsheetml/2006/main" count="34" uniqueCount="28">
  <si>
    <t>Номер договора</t>
  </si>
  <si>
    <t>Дата заключения</t>
  </si>
  <si>
    <t>Банк</t>
  </si>
  <si>
    <t>Страна банка</t>
  </si>
  <si>
    <t>Сумма</t>
  </si>
  <si>
    <t>Валюта</t>
  </si>
  <si>
    <t>Ставка %</t>
  </si>
  <si>
    <t>Тип ставки</t>
  </si>
  <si>
    <t>Дата начала</t>
  </si>
  <si>
    <t>Дата погашения</t>
  </si>
  <si>
    <t>Срок (мес.)</t>
  </si>
  <si>
    <t>Тип обеспечения</t>
  </si>
  <si>
    <t>Статус</t>
  </si>
  <si>
    <t>CR-2023-001</t>
  </si>
  <si>
    <t>ОАО «АСБ Беларусбанк»</t>
  </si>
  <si>
    <t>Беларусь</t>
  </si>
  <si>
    <t>USD</t>
  </si>
  <si>
    <t>fixed</t>
  </si>
  <si>
    <t>Залог основных средств</t>
  </si>
  <si>
    <t>active</t>
  </si>
  <si>
    <t>CR-2024-002</t>
  </si>
  <si>
    <t>ЗАО «Белгазпромбанк»</t>
  </si>
  <si>
    <t>Гарантия государства</t>
  </si>
  <si>
    <t>CR-2025-003</t>
  </si>
  <si>
    <t>VTB Bank</t>
  </si>
  <si>
    <t>Россия</t>
  </si>
  <si>
    <t>floating</t>
  </si>
  <si>
    <t>Залог добычных мощностей</t>
  </si>
</sst>
</file>

<file path=xl/styles.xml><?xml version="1.0" encoding="utf-8"?>
<styleSheet xmlns="http://schemas.openxmlformats.org/spreadsheetml/2006/main">
  <numFmts count="4">
    <numFmt numFmtId="176" formatCode="_-* #,##0.00\ &quot;₽&quot;_-;\-* #,##0.00\ &quot;₽&quot;_-;_-* \-??\ &quot;₽&quot;_-;_-@_-"/>
    <numFmt numFmtId="43" formatCode="_-* #,##0.00_-;\-* #,##0.00_-;_-* &quot;-&quot;??_-;_-@_-"/>
    <numFmt numFmtId="177" formatCode="_-* #,##0\ &quot;₽&quot;_-;\-* #,##0\ &quot;₽&quot;_-;_-* \-\ &quot;₽&quot;_-;_-@_-"/>
    <numFmt numFmtId="41" formatCode="_-* #,##0_-;\-* #,##0_-;_-* &quot;-&quot;_-;_-@_-"/>
  </numFmts>
  <fonts count="22">
    <font>
      <sz val="11"/>
      <color theme="1"/>
      <name val="Calibri"/>
      <charset val="134"/>
    </font>
    <font>
      <b/>
      <sz val="10"/>
      <color rgb="FFFFFFFF"/>
      <name val="Arial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/>
    <xf numFmtId="0" fontId="5" fillId="14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1" fillId="7" borderId="3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8" fillId="20" borderId="7" applyNumberFormat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1" borderId="3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36" fontId="0" fillId="0" borderId="0" xfId="0" applyNumberFormat="1" applyAlignment="1">
      <alignment wrapText="1"/>
    </xf>
    <xf numFmtId="16" fontId="0" fillId="0" borderId="0" xfId="0" applyNumberFormat="1" applyAlignment="1">
      <alignment wrapText="1"/>
    </xf>
  </cellXfs>
  <cellStyles count="49">
    <cellStyle name="Обычный" xfId="0" builtinId="0"/>
    <cellStyle name="40% — Акцент6" xfId="1" builtinId="51"/>
    <cellStyle name="Акцент4" xfId="2" builtinId="41"/>
    <cellStyle name="20% — Акцент6" xfId="3" builtinId="50"/>
    <cellStyle name="Гиперссылка" xfId="4" builtinId="8"/>
    <cellStyle name="40% — Акцент5" xfId="5" builtinId="47"/>
    <cellStyle name="Акцент3" xfId="6" builtinId="37"/>
    <cellStyle name="20% — Акцент5" xfId="7" builtinId="46"/>
    <cellStyle name="Акцент2" xfId="8" builtinId="33"/>
    <cellStyle name="20% — Акцент4" xfId="9" builtinId="42"/>
    <cellStyle name="Заголовок 2" xfId="10" builtinId="17"/>
    <cellStyle name="60% — Акцент3" xfId="11" builtinId="40"/>
    <cellStyle name="Акцент1" xfId="12" builtinId="29"/>
    <cellStyle name="20% — Акцент3" xfId="13" builtinId="38"/>
    <cellStyle name="Заголовок 1" xfId="14" builtinId="16"/>
    <cellStyle name="Денежный" xfId="15" builtinId="4"/>
    <cellStyle name="60% — Акцент2" xfId="16" builtinId="36"/>
    <cellStyle name="Ввод" xfId="17" builtinId="20"/>
    <cellStyle name="Акцент6" xfId="18" builtinId="49"/>
    <cellStyle name="Процент" xfId="19" builtinId="5"/>
    <cellStyle name="40% — Акцент2" xfId="20" builtinId="35"/>
    <cellStyle name="20% — Акцент2" xfId="21" builtinId="34"/>
    <cellStyle name="Запятая" xfId="22" builtinId="3"/>
    <cellStyle name="Акцент5" xfId="23" builtinId="45"/>
    <cellStyle name="Нейтральный" xfId="24" builtinId="28"/>
    <cellStyle name="40% — Акцент1" xfId="25" builtinId="31"/>
    <cellStyle name="20% — Акцент1" xfId="26" builtinId="30"/>
    <cellStyle name="Открывавшаяся гиперссылка" xfId="27" builtinId="9"/>
    <cellStyle name="Связанная ячейка" xfId="28" builtinId="24"/>
    <cellStyle name="Проверить ячейку" xfId="29" builtinId="23"/>
    <cellStyle name="60% — Акцент5" xfId="30" builtinId="48"/>
    <cellStyle name="Заголовок 4" xfId="31" builtinId="19"/>
    <cellStyle name="Заголовок 3" xfId="32" builtinId="18"/>
    <cellStyle name="60% — Акцент4" xfId="33" builtinId="44"/>
    <cellStyle name="Плохой" xfId="34" builtinId="27"/>
    <cellStyle name="Вычисление" xfId="35" builtinId="22"/>
    <cellStyle name="60% — Акцент6" xfId="36" builtinId="52"/>
    <cellStyle name="Денежный [0]" xfId="37" builtinId="7"/>
    <cellStyle name="Пояснительный текст" xfId="38" builtinId="53"/>
    <cellStyle name="40% — Акцент3" xfId="39" builtinId="39"/>
    <cellStyle name="Заголовок" xfId="40" builtinId="15"/>
    <cellStyle name="Запятая [0]" xfId="41" builtinId="6"/>
    <cellStyle name="Итого" xfId="42" builtinId="25"/>
    <cellStyle name="Предупреждающий текст" xfId="43" builtinId="11"/>
    <cellStyle name="Примечание" xfId="44" builtinId="10"/>
    <cellStyle name="60% — Акцент1" xfId="45" builtinId="32"/>
    <cellStyle name="Хороший" xfId="46" builtinId="26"/>
    <cellStyle name="40% — Акцент4" xfId="47" builtinId="43"/>
    <cellStyle name="Вывод" xfId="48" builtinId="2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workbookViewId="0">
      <selection activeCell="M1" sqref="M1"/>
    </sheetView>
  </sheetViews>
  <sheetFormatPr defaultColWidth="8" defaultRowHeight="15" outlineLevelRow="3"/>
  <cols>
    <col min="1" max="1" width="13.1111111111111" customWidth="1"/>
    <col min="2" max="2" width="12.7777777777778" customWidth="1"/>
    <col min="3" max="3" width="17.8888888888889" customWidth="1"/>
    <col min="9" max="9" width="13.2222222222222" customWidth="1"/>
    <col min="10" max="10" width="13.4444444444444" customWidth="1"/>
    <col min="12" max="12" width="16.6666666666667" customWidth="1"/>
  </cols>
  <sheetData>
    <row r="1" ht="38.25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37" customHeight="1" spans="1:13">
      <c r="A2" s="2" t="s">
        <v>13</v>
      </c>
      <c r="B2" s="3">
        <v>44941</v>
      </c>
      <c r="C2" s="2" t="s">
        <v>14</v>
      </c>
      <c r="D2" s="2" t="s">
        <v>15</v>
      </c>
      <c r="E2" s="2">
        <v>1000000000</v>
      </c>
      <c r="F2" s="2" t="s">
        <v>16</v>
      </c>
      <c r="G2" s="4">
        <v>46149</v>
      </c>
      <c r="H2" s="2" t="s">
        <v>17</v>
      </c>
      <c r="I2" s="3">
        <v>44946</v>
      </c>
      <c r="J2" s="3">
        <v>46772</v>
      </c>
      <c r="K2" s="2">
        <v>60</v>
      </c>
      <c r="L2" s="2" t="s">
        <v>18</v>
      </c>
      <c r="M2" s="2" t="s">
        <v>19</v>
      </c>
    </row>
    <row r="3" ht="30" spans="1:13">
      <c r="A3" s="2" t="s">
        <v>20</v>
      </c>
      <c r="B3" s="3">
        <v>45453</v>
      </c>
      <c r="C3" s="2" t="s">
        <v>21</v>
      </c>
      <c r="D3" s="2" t="s">
        <v>15</v>
      </c>
      <c r="E3" s="2">
        <v>800000000</v>
      </c>
      <c r="F3" s="2" t="s">
        <v>16</v>
      </c>
      <c r="G3" s="4">
        <v>46061</v>
      </c>
      <c r="H3" s="2" t="s">
        <v>17</v>
      </c>
      <c r="I3" s="3">
        <v>45458</v>
      </c>
      <c r="J3" s="3">
        <v>47284</v>
      </c>
      <c r="K3" s="2">
        <v>60</v>
      </c>
      <c r="L3" s="2" t="s">
        <v>22</v>
      </c>
      <c r="M3" s="2" t="s">
        <v>19</v>
      </c>
    </row>
    <row r="4" ht="27" customHeight="1" spans="1:13">
      <c r="A4" s="2" t="s">
        <v>23</v>
      </c>
      <c r="B4" s="3">
        <v>45717</v>
      </c>
      <c r="C4" s="2" t="s">
        <v>24</v>
      </c>
      <c r="D4" s="2" t="s">
        <v>25</v>
      </c>
      <c r="E4" s="2">
        <v>1200000000</v>
      </c>
      <c r="F4" s="2" t="s">
        <v>16</v>
      </c>
      <c r="G4" s="4">
        <v>46240</v>
      </c>
      <c r="H4" s="2" t="s">
        <v>26</v>
      </c>
      <c r="I4" s="3">
        <v>45721</v>
      </c>
      <c r="J4" s="3">
        <v>47547</v>
      </c>
      <c r="K4" s="2">
        <v>60</v>
      </c>
      <c r="L4" s="2" t="s">
        <v>27</v>
      </c>
      <c r="M4" s="2" t="s">
        <v>19</v>
      </c>
    </row>
  </sheetData>
  <dataValidations count="1">
    <dataValidation type="list" allowBlank="1" sqref="F5:F1000">
      <formula1>"USD,EUR,BYN"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Кредитные договоры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ruskom</cp:lastModifiedBy>
  <dcterms:created xsi:type="dcterms:W3CDTF">2006-09-16T03:00:00Z</dcterms:created>
  <dcterms:modified xsi:type="dcterms:W3CDTF">2026-03-13T20:04:45Z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1049-11.1.0.11723</vt:lpwstr>
  </property>
</Properties>
</file>