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<sst xmlns="http://schemas.openxmlformats.org/spreadsheetml/2006/main" count="22" uniqueCount="14">
  <si>
    <t>Номер контракта</t>
  </si>
  <si>
    <t>Дата контракта</t>
  </si>
  <si>
    <t>Страна</t>
  </si>
  <si>
    <t>Объем</t>
  </si>
  <si>
    <t>Цена  контракта</t>
  </si>
  <si>
    <t>Валюта</t>
  </si>
  <si>
    <t>Срок оплаты (дней)</t>
  </si>
  <si>
    <t>Дата отгрузки</t>
  </si>
  <si>
    <t>Курс на дату контракта</t>
  </si>
  <si>
    <t>ИРАН</t>
  </si>
  <si>
    <t>USD</t>
  </si>
  <si>
    <t>КИТАЙ</t>
  </si>
  <si>
    <t>CNY</t>
  </si>
  <si>
    <t xml:space="preserve"> </t>
  </si>
</sst>
</file>

<file path=xl/styles.xml><?xml version="1.0" encoding="utf-8"?>
<styleSheet xmlns="http://schemas.openxmlformats.org/spreadsheetml/2006/main">
  <numFmts count="8">
    <numFmt numFmtId="176" formatCode="dd.mm.yyyy;@"/>
    <numFmt numFmtId="177" formatCode="[$-419]d\ mmmm\ yyyy\ &quot;r.&quot;;@"/>
    <numFmt numFmtId="178" formatCode="#,000_);[Red]\(#,000\)"/>
    <numFmt numFmtId="179" formatCode="_-* #,##0.00\ &quot;₽&quot;_-;\-* #,##0.00\ &quot;₽&quot;_-;_-* \-??\ &quot;₽&quot;_-;_-@_-"/>
    <numFmt numFmtId="43" formatCode="_-* #,##0.00_-;\-* #,##0.00_-;_-* &quot;-&quot;??_-;_-@_-"/>
    <numFmt numFmtId="180" formatCode="dd/mm/yyyy\ h:mm:ss"/>
    <numFmt numFmtId="181" formatCode="_-* #,##0\ &quot;₽&quot;_-;\-* #,##0\ &quot;₽&quot;_-;_-* \-\ &quot;₽&quot;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50">
    <xf numFmtId="0" fontId="0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</cellStyleXfs>
  <cellXfs count="12">
    <xf numFmtId="0" fontId="0" fillId="0" borderId="0" xfId="0">
      <alignment vertical="center"/>
    </xf>
    <xf numFmtId="178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8" fontId="0" fillId="0" borderId="0" xfId="27" applyNumberFormat="1"/>
    <xf numFmtId="180" fontId="0" fillId="0" borderId="0" xfId="27" applyNumberFormat="1"/>
    <xf numFmtId="0" fontId="0" fillId="0" borderId="0" xfId="27"/>
    <xf numFmtId="177" fontId="1" fillId="2" borderId="0" xfId="0" applyNumberFormat="1" applyFont="1" applyFill="1" applyAlignment="1">
      <alignment horizontal="center" vertical="center" wrapText="1"/>
    </xf>
    <xf numFmtId="176" fontId="0" fillId="0" borderId="0" xfId="27" applyNumberFormat="1"/>
    <xf numFmtId="177" fontId="0" fillId="0" borderId="0" xfId="27" applyNumberFormat="1"/>
    <xf numFmtId="179" fontId="1" fillId="2" borderId="0" xfId="0" applyNumberFormat="1" applyFont="1" applyFill="1" applyAlignment="1">
      <alignment horizontal="center" vertical="center" wrapText="1"/>
    </xf>
    <xf numFmtId="179" fontId="0" fillId="0" borderId="0" xfId="15" applyAlignment="1"/>
    <xf numFmtId="179" fontId="0" fillId="0" borderId="0" xfId="27" applyNumberFormat="1"/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Normal" xfId="27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I1" sqref="I1"/>
    </sheetView>
  </sheetViews>
  <sheetFormatPr defaultColWidth="8.88888888888889" defaultRowHeight="15" outlineLevelRow="7"/>
  <cols>
    <col min="2" max="2" width="21.2222222222222" customWidth="1"/>
    <col min="3" max="3" width="48.5555555555556" customWidth="1"/>
    <col min="5" max="5" width="12.4444444444444"/>
    <col min="8" max="8" width="18.3333333333333" customWidth="1"/>
  </cols>
  <sheetData>
    <row r="1" ht="38.2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9" t="s">
        <v>8</v>
      </c>
    </row>
    <row r="2" spans="1:9">
      <c r="A2" s="3">
        <v>4869</v>
      </c>
      <c r="B2" s="4">
        <v>45566</v>
      </c>
      <c r="C2" s="5" t="s">
        <v>9</v>
      </c>
      <c r="D2" s="5">
        <v>5971.68</v>
      </c>
      <c r="E2" s="5">
        <v>1474288.3584</v>
      </c>
      <c r="F2" s="5" t="s">
        <v>10</v>
      </c>
      <c r="G2" s="5">
        <v>30</v>
      </c>
      <c r="H2" s="7">
        <f>B2</f>
        <v>45566</v>
      </c>
      <c r="I2" s="10">
        <v>3.34</v>
      </c>
    </row>
    <row r="3" spans="1:9">
      <c r="A3" s="3">
        <v>4870</v>
      </c>
      <c r="B3" s="4">
        <v>45566</v>
      </c>
      <c r="C3" s="5" t="s">
        <v>11</v>
      </c>
      <c r="D3" s="5">
        <v>104780</v>
      </c>
      <c r="E3" s="5">
        <v>147329594.36</v>
      </c>
      <c r="F3" s="5" t="s">
        <v>12</v>
      </c>
      <c r="G3" s="5">
        <v>30</v>
      </c>
      <c r="H3" s="7">
        <f>B3</f>
        <v>45566</v>
      </c>
      <c r="I3" s="10">
        <v>3.34</v>
      </c>
    </row>
    <row r="4" spans="1:9">
      <c r="A4" s="3">
        <v>4871</v>
      </c>
      <c r="B4" s="4">
        <v>45597</v>
      </c>
      <c r="C4" s="5" t="s">
        <v>9</v>
      </c>
      <c r="D4" s="5">
        <v>3912.48</v>
      </c>
      <c r="E4" s="5">
        <v>975381.264</v>
      </c>
      <c r="F4" s="5" t="s">
        <v>10</v>
      </c>
      <c r="G4" s="5">
        <v>30</v>
      </c>
      <c r="H4" s="7">
        <f t="shared" ref="H4:H7" si="0">B4</f>
        <v>45597</v>
      </c>
      <c r="I4" s="11">
        <v>3.34</v>
      </c>
    </row>
    <row r="5" spans="1:9">
      <c r="A5" s="3">
        <v>4872</v>
      </c>
      <c r="B5" s="4">
        <v>45597</v>
      </c>
      <c r="C5" s="5" t="s">
        <v>11</v>
      </c>
      <c r="D5" s="5">
        <v>157976</v>
      </c>
      <c r="E5" s="5">
        <v>229671956.8</v>
      </c>
      <c r="F5" s="5" t="s">
        <v>12</v>
      </c>
      <c r="G5" s="5">
        <v>30</v>
      </c>
      <c r="H5" s="7">
        <f t="shared" si="0"/>
        <v>45597</v>
      </c>
      <c r="I5" s="10">
        <v>3.34</v>
      </c>
    </row>
    <row r="6" spans="1:9">
      <c r="A6" s="3">
        <v>4873</v>
      </c>
      <c r="B6" s="4">
        <v>45627</v>
      </c>
      <c r="C6" s="5" t="s">
        <v>9</v>
      </c>
      <c r="D6" s="5">
        <v>7824.96</v>
      </c>
      <c r="E6" s="5">
        <v>1950762.528</v>
      </c>
      <c r="F6" s="5" t="s">
        <v>10</v>
      </c>
      <c r="G6" s="5">
        <v>30</v>
      </c>
      <c r="H6" s="7">
        <f t="shared" si="0"/>
        <v>45627</v>
      </c>
      <c r="I6" s="10">
        <v>3.34</v>
      </c>
    </row>
    <row r="7" spans="1:9">
      <c r="A7" s="3">
        <v>4874</v>
      </c>
      <c r="B7" s="4">
        <v>45627</v>
      </c>
      <c r="C7" s="5" t="s">
        <v>11</v>
      </c>
      <c r="D7" s="5">
        <v>146692</v>
      </c>
      <c r="E7" s="5">
        <v>219640448.56</v>
      </c>
      <c r="F7" s="5" t="s">
        <v>12</v>
      </c>
      <c r="G7" s="5">
        <v>30</v>
      </c>
      <c r="H7" s="7">
        <f t="shared" si="0"/>
        <v>45627</v>
      </c>
      <c r="I7" s="11">
        <v>3.34</v>
      </c>
    </row>
    <row r="8" spans="1:9">
      <c r="A8" s="3"/>
      <c r="B8" s="5"/>
      <c r="C8" s="5"/>
      <c r="D8" s="5"/>
      <c r="E8" s="5"/>
      <c r="F8" s="5"/>
      <c r="G8" s="5" t="s">
        <v>13</v>
      </c>
      <c r="H8" s="8"/>
      <c r="I8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ruskom</dc:creator>
  <cp:lastModifiedBy>ruskom</cp:lastModifiedBy>
  <dcterms:created xsi:type="dcterms:W3CDTF">2026-03-18T12:39:12Z</dcterms:created>
  <dcterms:modified xsi:type="dcterms:W3CDTF">2026-03-18T12:41:48Z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